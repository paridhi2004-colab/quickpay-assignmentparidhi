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cf92171be6803/Desktop/quickpay-assessment/02_spreadsheet/"/>
    </mc:Choice>
  </mc:AlternateContent>
  <xr:revisionPtr revIDLastSave="114" documentId="8_{8F6F7AA0-F7CB-456B-A360-71FB68ABFBBD}" xr6:coauthVersionLast="47" xr6:coauthVersionMax="47" xr10:uidLastSave="{D2D0B640-18AD-4057-A5BB-ACE81C102A32}"/>
  <bookViews>
    <workbookView xWindow="11424" yWindow="0" windowWidth="11712" windowHeight="12336" firstSheet="2" activeTab="3" xr2:uid="{45FC4944-7ADA-4D3C-8D06-76E939E30EB5}"/>
  </bookViews>
  <sheets>
    <sheet name="raw_transactions" sheetId="1" r:id="rId1"/>
    <sheet name="merchant_master" sheetId="2" r:id="rId2"/>
    <sheet name="exchange_rates" sheetId="3" r:id="rId3"/>
    <sheet name="cleaned_transactions" sheetId="4" r:id="rId4"/>
    <sheet name="summary" sheetId="7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4" l="1"/>
  <c r="P2" i="4"/>
  <c r="O2" i="4"/>
  <c r="M2" i="4"/>
  <c r="N2" i="4"/>
  <c r="R9" i="4"/>
  <c r="O8" i="4"/>
  <c r="Q8" i="4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O4" i="4"/>
  <c r="Q4" i="4" s="1"/>
  <c r="O5" i="4"/>
  <c r="Q5" i="4" s="1"/>
  <c r="O10" i="4"/>
  <c r="Q10" i="4" s="1"/>
  <c r="O13" i="4"/>
  <c r="Q13" i="4" s="1"/>
  <c r="O14" i="4"/>
  <c r="Q14" i="4" s="1"/>
  <c r="O15" i="4"/>
  <c r="Q15" i="4" s="1"/>
  <c r="O18" i="4"/>
  <c r="Q18" i="4" s="1"/>
  <c r="O19" i="4"/>
  <c r="Q19" i="4" s="1"/>
  <c r="O20" i="4"/>
  <c r="Q20" i="4" s="1"/>
  <c r="O21" i="4"/>
  <c r="Q21" i="4" s="1"/>
  <c r="O23" i="4"/>
  <c r="Q23" i="4" s="1"/>
  <c r="O24" i="4"/>
  <c r="Q24" i="4" s="1"/>
  <c r="O25" i="4"/>
  <c r="Q25" i="4" s="1"/>
  <c r="O26" i="4"/>
  <c r="Q26" i="4" s="1"/>
  <c r="O27" i="4"/>
  <c r="Q27" i="4" s="1"/>
  <c r="O28" i="4"/>
  <c r="Q28" i="4" s="1"/>
  <c r="O29" i="4"/>
  <c r="Q29" i="4" s="1"/>
  <c r="O30" i="4"/>
  <c r="Q30" i="4" s="1"/>
  <c r="O31" i="4"/>
  <c r="Q31" i="4" s="1"/>
  <c r="N3" i="4"/>
  <c r="R3" i="4" s="1"/>
  <c r="N4" i="4"/>
  <c r="R4" i="4" s="1"/>
  <c r="N5" i="4"/>
  <c r="N6" i="4"/>
  <c r="R6" i="4" s="1"/>
  <c r="N7" i="4"/>
  <c r="N8" i="4"/>
  <c r="R8" i="4" s="1"/>
  <c r="N9" i="4"/>
  <c r="N10" i="4"/>
  <c r="R10" i="4" s="1"/>
  <c r="N11" i="4"/>
  <c r="N12" i="4"/>
  <c r="R12" i="4" s="1"/>
  <c r="N13" i="4"/>
  <c r="N14" i="4"/>
  <c r="R14" i="4" s="1"/>
  <c r="N15" i="4"/>
  <c r="R15" i="4" s="1"/>
  <c r="N16" i="4"/>
  <c r="R16" i="4" s="1"/>
  <c r="N17" i="4"/>
  <c r="N18" i="4"/>
  <c r="R18" i="4" s="1"/>
  <c r="N19" i="4"/>
  <c r="N20" i="4"/>
  <c r="R20" i="4" s="1"/>
  <c r="N21" i="4"/>
  <c r="R21" i="4" s="1"/>
  <c r="N22" i="4"/>
  <c r="R22" i="4" s="1"/>
  <c r="N23" i="4"/>
  <c r="N24" i="4"/>
  <c r="R24" i="4" s="1"/>
  <c r="N25" i="4"/>
  <c r="N26" i="4"/>
  <c r="R26" i="4" s="1"/>
  <c r="N27" i="4"/>
  <c r="R27" i="4" s="1"/>
  <c r="N28" i="4"/>
  <c r="R28" i="4" s="1"/>
  <c r="N29" i="4"/>
  <c r="N30" i="4"/>
  <c r="R30" i="4" s="1"/>
  <c r="N31" i="4"/>
  <c r="M3" i="4"/>
  <c r="M6" i="4"/>
  <c r="M8" i="4"/>
  <c r="M9" i="4"/>
  <c r="M12" i="4"/>
  <c r="M14" i="4"/>
  <c r="M15" i="4"/>
  <c r="M18" i="4"/>
  <c r="M20" i="4"/>
  <c r="M21" i="4"/>
  <c r="M24" i="4"/>
  <c r="M26" i="4"/>
  <c r="M27" i="4"/>
  <c r="M30" i="4"/>
  <c r="L3" i="4"/>
  <c r="L4" i="4"/>
  <c r="M4" i="4" s="1"/>
  <c r="L5" i="4"/>
  <c r="M5" i="4" s="1"/>
  <c r="L6" i="4"/>
  <c r="L7" i="4"/>
  <c r="M7" i="4" s="1"/>
  <c r="L8" i="4"/>
  <c r="L9" i="4"/>
  <c r="L10" i="4"/>
  <c r="M10" i="4" s="1"/>
  <c r="L11" i="4"/>
  <c r="M11" i="4" s="1"/>
  <c r="L12" i="4"/>
  <c r="L13" i="4"/>
  <c r="M13" i="4" s="1"/>
  <c r="L14" i="4"/>
  <c r="L15" i="4"/>
  <c r="L16" i="4"/>
  <c r="M16" i="4" s="1"/>
  <c r="L17" i="4"/>
  <c r="M17" i="4" s="1"/>
  <c r="L18" i="4"/>
  <c r="L19" i="4"/>
  <c r="M19" i="4" s="1"/>
  <c r="L20" i="4"/>
  <c r="L21" i="4"/>
  <c r="L22" i="4"/>
  <c r="M22" i="4" s="1"/>
  <c r="L23" i="4"/>
  <c r="M23" i="4" s="1"/>
  <c r="L24" i="4"/>
  <c r="L25" i="4"/>
  <c r="M25" i="4" s="1"/>
  <c r="L26" i="4"/>
  <c r="L27" i="4"/>
  <c r="L28" i="4"/>
  <c r="M28" i="4" s="1"/>
  <c r="L29" i="4"/>
  <c r="M29" i="4" s="1"/>
  <c r="L30" i="4"/>
  <c r="L31" i="4"/>
  <c r="M31" i="4" s="1"/>
  <c r="L2" i="4"/>
  <c r="K3" i="4"/>
  <c r="O3" i="4" s="1"/>
  <c r="Q3" i="4" s="1"/>
  <c r="K4" i="4"/>
  <c r="K5" i="4"/>
  <c r="K6" i="4"/>
  <c r="O6" i="4" s="1"/>
  <c r="Q6" i="4" s="1"/>
  <c r="K7" i="4"/>
  <c r="O7" i="4" s="1"/>
  <c r="Q7" i="4" s="1"/>
  <c r="K8" i="4"/>
  <c r="K9" i="4"/>
  <c r="O9" i="4" s="1"/>
  <c r="Q9" i="4" s="1"/>
  <c r="K10" i="4"/>
  <c r="K11" i="4"/>
  <c r="O11" i="4" s="1"/>
  <c r="Q11" i="4" s="1"/>
  <c r="K12" i="4"/>
  <c r="O12" i="4" s="1"/>
  <c r="Q12" i="4" s="1"/>
  <c r="K13" i="4"/>
  <c r="K14" i="4"/>
  <c r="K15" i="4"/>
  <c r="K16" i="4"/>
  <c r="O16" i="4" s="1"/>
  <c r="Q16" i="4" s="1"/>
  <c r="K17" i="4"/>
  <c r="O17" i="4" s="1"/>
  <c r="Q17" i="4" s="1"/>
  <c r="K18" i="4"/>
  <c r="K19" i="4"/>
  <c r="K20" i="4"/>
  <c r="K21" i="4"/>
  <c r="K22" i="4"/>
  <c r="O22" i="4" s="1"/>
  <c r="Q22" i="4" s="1"/>
  <c r="K23" i="4"/>
  <c r="K24" i="4"/>
  <c r="K25" i="4"/>
  <c r="K26" i="4"/>
  <c r="K27" i="4"/>
  <c r="K28" i="4"/>
  <c r="K29" i="4"/>
  <c r="K30" i="4"/>
  <c r="K31" i="4"/>
  <c r="K2" i="4"/>
  <c r="R2" i="4" l="1"/>
  <c r="R31" i="4"/>
  <c r="R25" i="4"/>
  <c r="R19" i="4"/>
  <c r="R13" i="4"/>
  <c r="R7" i="4"/>
  <c r="R29" i="4"/>
  <c r="R23" i="4"/>
  <c r="R17" i="4"/>
  <c r="R11" i="4"/>
  <c r="R5" i="4"/>
</calcChain>
</file>

<file path=xl/sharedStrings.xml><?xml version="1.0" encoding="utf-8"?>
<sst xmlns="http://schemas.openxmlformats.org/spreadsheetml/2006/main" count="525" uniqueCount="139">
  <si>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</si>
  <si>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</si>
  <si>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</si>
  <si>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</si>
  <si>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</si>
  <si>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</si>
  <si>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</si>
  <si>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</si>
  <si>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</si>
  <si>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</si>
  <si>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</si>
  <si>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</si>
  <si>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</si>
  <si>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</si>
  <si>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</si>
  <si>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</si>
  <si>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</si>
  <si>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</si>
  <si>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</si>
  <si>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</si>
  <si>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</si>
  <si>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</si>
  <si>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</si>
  <si>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</si>
  <si>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</si>
  <si>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</si>
  <si>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</si>
  <si>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</si>
  <si>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</si>
  <si>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</si>
  <si>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</si>
  <si>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</si>
  <si>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</si>
  <si>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</si>
  <si>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</si>
  <si>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</si>
  <si>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</si>
  <si>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</si>
  <si>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</si>
  <si>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</si>
  <si>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</si>
  <si>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</si>
  <si>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</si>
  <si>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</si>
  <si>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</si>
  <si>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</si>
  <si>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</si>
  <si>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</si>
  <si>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</si>
  <si>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</si>
  <si>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</si>
  <si>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</si>
  <si>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</si>
  <si>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</si>
  <si>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</si>
  <si>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</si>
  <si>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</si>
  <si>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</si>
  <si>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</si>
  <si>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</si>
  <si>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</si>
  <si>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</si>
  <si>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</si>
  <si>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</si>
  <si>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</si>
  <si>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</si>
  <si>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</si>
  <si>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</si>
  <si>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</si>
  <si>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</si>
  <si>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</si>
  <si>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</si>
  <si>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</si>
  <si>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</si>
  <si>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</si>
  <si>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</si>
  <si>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</si>
  <si>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</si>
  <si>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</si>
  <si>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</si>
  <si>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</si>
  <si>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</si>
  <si>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</si>
  <si>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</si>
  <si>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</si>
  <si>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</si>
  <si>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</si>
  <si>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</si>
  <si>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</si>
  <si>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</si>
  <si>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</si>
  <si>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</si>
  <si>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</si>
  <si>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</si>
  <si>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</si>
  <si>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</si>
  <si>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</si>
  <si>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</si>
  <si>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</si>
  <si>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</si>
  <si>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</si>
  <si>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</si>
  <si>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</si>
  <si>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</si>
  <si>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</si>
  <si>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</si>
  <si>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</si>
  <si>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</si>
  <si>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</si>
  <si>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</si>
  <si>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</si>
  <si>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</si>
  <si>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</si>
  <si>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</si>
  <si>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</si>
  <si>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</si>
  <si>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</si>
  <si>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</si>
  <si>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</si>
  <si>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</si>
  <si>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</si>
  <si>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</si>
  <si>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</si>
  <si>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</si>
  <si>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rate_date</t>
  </si>
  <si>
    <t>usd_rate</t>
  </si>
  <si>
    <t>merchant_name_clean</t>
  </si>
  <si>
    <t>status_clean</t>
  </si>
  <si>
    <t>status_standardized</t>
  </si>
  <si>
    <t>risk_score_clean</t>
  </si>
  <si>
    <t>gateway_region_clean</t>
  </si>
  <si>
    <t>amount_usd</t>
  </si>
  <si>
    <t>high_value_flag</t>
  </si>
  <si>
    <t>high_risk_flag</t>
  </si>
  <si>
    <t>Grand Total</t>
  </si>
  <si>
    <t xml:space="preserve">total_transactions </t>
  </si>
  <si>
    <t>total_gmv</t>
  </si>
  <si>
    <t>high_risk_transactions</t>
  </si>
  <si>
    <t>Merchants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</si>
</sst>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" refreshedDate="46151.923032407409" createdVersion="8" refreshedVersion="8" minRefreshableVersion="3" recordCount="30" xr:uid="{BC07AEF5-22C4-4E09-962B-7E111D290759}">
  <cacheSource type="worksheet">
    <worksheetSource ref="A1:R31" sheet="cleaned_transactions"/>
  </cacheSource>
  <cacheFields count="18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Blank="1" containsMixedTypes="1" containsNumber="1" containsInteger="1" minValue="38" maxValue="75"/>
    </cacheField>
    <cacheField name="gateway_region" numFmtId="0">
      <sharedItems containsBlank="1" count="6">
        <s v="APAC"/>
        <m/>
        <s v=" APAC "/>
        <s v=" EU "/>
        <s v="EU"/>
        <s v="us"/>
      </sharedItems>
    </cacheField>
    <cacheField name="user_id" numFmtId="0">
      <sharedItems/>
    </cacheField>
    <cacheField name="payment_method" numFmtId="0">
      <sharedItems/>
    </cacheField>
    <cacheField name="merchant_name_clean" numFmtId="0">
      <sharedItems count="5">
        <s v="Alpha Mart"/>
        <s v="Beta Stores"/>
        <s v="City Pharma"/>
        <s v="Eco Home"/>
        <s v="Delta Travels"/>
      </sharedItems>
    </cacheField>
    <cacheField name="status_clean" numFmtId="0">
      <sharedItems/>
    </cacheField>
    <cacheField name="status_standardized" numFmtId="0">
      <sharedItems/>
    </cacheField>
    <cacheField name="risk_score_clean" numFmtId="0">
      <sharedItems containsMixedTypes="1" containsNumber="1" containsInteger="1" minValue="38" maxValue="86"/>
    </cacheField>
    <cacheField name="gateway_region_clean" numFmtId="0">
      <sharedItems count="3">
        <s v="APAC"/>
        <s v="EU"/>
        <s v="US"/>
      </sharedItems>
    </cacheField>
    <cacheField name="amount_usd" numFmtId="0">
      <sharedItems containsSemiMixedTypes="0" containsString="0" containsNumber="1" minValue="1487.5" maxValue="7259.0000000000009"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s v=" alpha mart "/>
    <n v="420000"/>
    <s v="INR"/>
    <s v="captured"/>
    <s v="score:62"/>
    <x v="0"/>
    <s v="U001"/>
    <s v="UPI"/>
    <x v="0"/>
    <s v="captured"/>
    <s v="captured"/>
    <n v="62"/>
    <x v="0"/>
    <n v="4998"/>
    <n v="0"/>
    <n v="0"/>
  </r>
  <r>
    <s v="T002"/>
    <d v="2026-03-01T00:00:00"/>
    <s v="ALPHA MART"/>
    <n v="210000"/>
    <s v="INR"/>
    <s v="Captured "/>
    <n v="55"/>
    <x v="1"/>
    <s v="U002"/>
    <s v="Card"/>
    <x v="0"/>
    <s v="captured"/>
    <s v="captured"/>
    <n v="55"/>
    <x v="0"/>
    <n v="2499"/>
    <n v="0"/>
    <n v="0"/>
  </r>
  <r>
    <s v="T003"/>
    <d v="2026-03-01T00:00:00"/>
    <s v="BETA STORES "/>
    <n v="510000"/>
    <s v="INR"/>
    <s v=" CAPTURED"/>
    <n v="71"/>
    <x v="2"/>
    <s v="U003"/>
    <s v="NetBanking"/>
    <x v="1"/>
    <s v="captured"/>
    <s v="captured"/>
    <n v="71"/>
    <x v="0"/>
    <n v="6069"/>
    <n v="1"/>
    <n v="1"/>
  </r>
  <r>
    <s v="T004"/>
    <d v="2026-03-02T00:00:00"/>
    <s v="Beta  Stores"/>
    <n v="160000"/>
    <s v="INR"/>
    <s v=" failed e05 timeout "/>
    <n v="68"/>
    <x v="0"/>
    <s v="U004"/>
    <s v="Card"/>
    <x v="1"/>
    <s v="failed e05 timeout"/>
    <s v="failed"/>
    <n v="68"/>
    <x v="0"/>
    <n v="1904.0000000000002"/>
    <n v="0"/>
    <n v="0"/>
  </r>
  <r>
    <s v="T005"/>
    <d v="2026-03-02T00:00:00"/>
    <s v="ALPHA MART"/>
    <n v="390000"/>
    <s v="INR"/>
    <s v=" CAPTURED"/>
    <n v="58"/>
    <x v="1"/>
    <s v="U001"/>
    <s v="UPI"/>
    <x v="0"/>
    <s v="captured"/>
    <s v="captured"/>
    <n v="58"/>
    <x v="0"/>
    <n v="4641"/>
    <n v="0"/>
    <n v="0"/>
  </r>
  <r>
    <s v="T006"/>
    <d v="2026-03-02T00:00:00"/>
    <s v="Beta  Stores"/>
    <n v="275000"/>
    <s v="INR"/>
    <s v="Captured "/>
    <s v="score:64"/>
    <x v="1"/>
    <s v="U005"/>
    <s v="Wallet"/>
    <x v="1"/>
    <s v="captured"/>
    <s v="captured"/>
    <n v="64"/>
    <x v="0"/>
    <n v="3272.5000000000005"/>
    <n v="0"/>
    <n v="0"/>
  </r>
  <r>
    <s v="T007"/>
    <d v="2026-03-02T00:00:00"/>
    <s v="Alpha  Mart"/>
    <n v="450000"/>
    <s v="INR"/>
    <s v="chargeback"/>
    <s v="risk-83"/>
    <x v="2"/>
    <s v="U006"/>
    <s v="Card"/>
    <x v="0"/>
    <s v="chargeback"/>
    <s v="chargeback"/>
    <n v="83"/>
    <x v="0"/>
    <n v="5355"/>
    <n v="1"/>
    <n v="1"/>
  </r>
  <r>
    <s v="T008"/>
    <d v="2026-03-03T00:00:00"/>
    <s v="BETA STORES "/>
    <n v="340000"/>
    <s v="INR"/>
    <s v="Captured "/>
    <n v="59"/>
    <x v="1"/>
    <s v="U007"/>
    <s v="UPI"/>
    <x v="1"/>
    <s v="captured"/>
    <s v="captured"/>
    <n v="59"/>
    <x v="0"/>
    <n v="4046.0000000000005"/>
    <n v="0"/>
    <n v="0"/>
  </r>
  <r>
    <s v="T009"/>
    <d v="2026-03-03T00:00:00"/>
    <s v="ALPHA MART"/>
    <n v="125000"/>
    <s v="INR"/>
    <s v="captured"/>
    <n v="46"/>
    <x v="0"/>
    <s v="U002"/>
    <s v="Wallet"/>
    <x v="0"/>
    <s v="captured"/>
    <s v="captured"/>
    <n v="46"/>
    <x v="0"/>
    <n v="1487.5"/>
    <n v="0"/>
    <n v="0"/>
  </r>
  <r>
    <s v="T010"/>
    <d v="2026-03-03T00:00:00"/>
    <s v="Beta Stores"/>
    <n v="610000"/>
    <s v="INR"/>
    <s v="captured"/>
    <s v="risk-77"/>
    <x v="1"/>
    <s v="U003"/>
    <s v="Card"/>
    <x v="1"/>
    <s v="captured"/>
    <s v="captured"/>
    <n v="77"/>
    <x v="0"/>
    <n v="7259.0000000000009"/>
    <n v="1"/>
    <n v="1"/>
  </r>
  <r>
    <s v="T011"/>
    <d v="2026-03-03T00:00:00"/>
    <s v="Alpha  Mart"/>
    <n v="195000"/>
    <s v="INR"/>
    <s v="FAILED e05 TIMEOUT"/>
    <m/>
    <x v="1"/>
    <s v="U008"/>
    <s v="UPI"/>
    <x v="0"/>
    <s v="failed e05 timeout"/>
    <s v="failed"/>
    <s v=""/>
    <x v="0"/>
    <n v="2320.5"/>
    <n v="0"/>
    <n v="1"/>
  </r>
  <r>
    <s v="T012"/>
    <d v="2026-03-04T00:00:00"/>
    <s v="Beta  Stores"/>
    <n v="250000"/>
    <s v="INR"/>
    <s v="Captured "/>
    <s v="risk-61"/>
    <x v="2"/>
    <s v="U009"/>
    <s v="Card"/>
    <x v="1"/>
    <s v="captured"/>
    <s v="captured"/>
    <n v="61"/>
    <x v="0"/>
    <n v="2975"/>
    <n v="0"/>
    <n v="0"/>
  </r>
  <r>
    <s v="T013"/>
    <d v="2026-03-04T00:00:00"/>
    <s v=" alpha mart "/>
    <n v="310000"/>
    <s v="INR"/>
    <s v="Captured "/>
    <s v="score:54"/>
    <x v="0"/>
    <s v="U010"/>
    <s v="UPI"/>
    <x v="0"/>
    <s v="captured"/>
    <s v="captured"/>
    <n v="54"/>
    <x v="0"/>
    <n v="3689.0000000000005"/>
    <n v="0"/>
    <n v="0"/>
  </r>
  <r>
    <s v="T014"/>
    <d v="2026-03-04T00:00:00"/>
    <s v="Beta  Stores"/>
    <n v="470000"/>
    <s v="INR"/>
    <s v="Captured "/>
    <s v="risk-73"/>
    <x v="0"/>
    <s v="U001"/>
    <s v="NetBanking"/>
    <x v="1"/>
    <s v="captured"/>
    <s v="captured"/>
    <n v="73"/>
    <x v="0"/>
    <n v="5593"/>
    <n v="1"/>
    <n v="1"/>
  </r>
  <r>
    <s v="T015"/>
    <d v="2026-03-04T00:00:00"/>
    <s v="ALPHA MART"/>
    <n v="130000"/>
    <s v="INR"/>
    <s v="captured"/>
    <s v="score:52"/>
    <x v="1"/>
    <s v="U002"/>
    <s v="Card"/>
    <x v="0"/>
    <s v="captured"/>
    <s v="captured"/>
    <n v="52"/>
    <x v="0"/>
    <n v="1547"/>
    <n v="0"/>
    <n v="0"/>
  </r>
  <r>
    <s v="T016"/>
    <d v="2026-03-05T00:00:00"/>
    <s v="Beta  Stores"/>
    <n v="220000"/>
    <s v="INR"/>
    <s v="FAILED e05 TIMEOUT"/>
    <s v="risk-69"/>
    <x v="1"/>
    <s v="U008"/>
    <s v="Card"/>
    <x v="1"/>
    <s v="failed e05 timeout"/>
    <s v="failed"/>
    <n v="69"/>
    <x v="0"/>
    <n v="2618"/>
    <n v="0"/>
    <n v="0"/>
  </r>
  <r>
    <s v="T017"/>
    <d v="2026-03-05T00:00:00"/>
    <s v="Beta  Stores"/>
    <n v="180000"/>
    <s v="INR"/>
    <s v="FAILED e05 TIMEOUT"/>
    <s v="score:72"/>
    <x v="0"/>
    <s v="U008"/>
    <s v="Card"/>
    <x v="1"/>
    <s v="failed e05 timeout"/>
    <s v="failed"/>
    <n v="72"/>
    <x v="0"/>
    <n v="2142"/>
    <n v="0"/>
    <n v="1"/>
  </r>
  <r>
    <s v="T018"/>
    <d v="2026-03-05T00:00:00"/>
    <s v="BETA STORES "/>
    <n v="145000"/>
    <s v="INR"/>
    <s v=" chargeback "/>
    <s v="risk-86"/>
    <x v="2"/>
    <s v="U008"/>
    <s v="UPI"/>
    <x v="1"/>
    <s v="chargeback"/>
    <s v="chargeback"/>
    <n v="86"/>
    <x v="0"/>
    <n v="1725.5000000000002"/>
    <n v="0"/>
    <n v="1"/>
  </r>
  <r>
    <s v="T019"/>
    <d v="2026-03-05T00:00:00"/>
    <s v="Alpha  Mart"/>
    <n v="260000"/>
    <s v="INR"/>
    <s v="FAILED e05 TIMEOUT"/>
    <s v="score:67"/>
    <x v="0"/>
    <s v="U008"/>
    <s v="Wallet"/>
    <x v="0"/>
    <s v="failed e05 timeout"/>
    <s v="failed"/>
    <n v="67"/>
    <x v="0"/>
    <n v="3094"/>
    <n v="0"/>
    <n v="0"/>
  </r>
  <r>
    <s v="T020"/>
    <d v="2026-03-05T00:00:00"/>
    <s v="ALPHA MART"/>
    <n v="520000"/>
    <s v="INR"/>
    <s v="Captured "/>
    <n v="75"/>
    <x v="0"/>
    <s v="U005"/>
    <s v="UPI"/>
    <x v="0"/>
    <s v="captured"/>
    <s v="captured"/>
    <n v="75"/>
    <x v="0"/>
    <n v="6188"/>
    <n v="1"/>
    <n v="1"/>
  </r>
  <r>
    <s v="T021"/>
    <d v="2026-03-06T00:00:00"/>
    <s v=" beta stores"/>
    <n v="330000"/>
    <s v="INR"/>
    <s v="Captured "/>
    <s v="score:63"/>
    <x v="1"/>
    <s v="U006"/>
    <s v="Card"/>
    <x v="1"/>
    <s v="captured"/>
    <s v="captured"/>
    <n v="63"/>
    <x v="0"/>
    <n v="3927.0000000000005"/>
    <n v="0"/>
    <n v="0"/>
  </r>
  <r>
    <s v="T022"/>
    <d v="2026-03-06T00:00:00"/>
    <s v="ALPHA MART"/>
    <n v="410000"/>
    <s v="INR"/>
    <s v="Captured "/>
    <n v="60"/>
    <x v="0"/>
    <s v="U007"/>
    <s v="UPI"/>
    <x v="0"/>
    <s v="captured"/>
    <s v="captured"/>
    <n v="60"/>
    <x v="0"/>
    <n v="4879"/>
    <n v="0"/>
    <n v="0"/>
  </r>
  <r>
    <s v="T023"/>
    <d v="2026-03-01T00:00:00"/>
    <s v="City Pharma"/>
    <n v="5200"/>
    <s v="EUR"/>
    <s v="Captured "/>
    <n v="42"/>
    <x v="3"/>
    <s v="U003"/>
    <s v="Card"/>
    <x v="2"/>
    <s v="captured"/>
    <s v="captured"/>
    <n v="42"/>
    <x v="1"/>
    <n v="5616"/>
    <n v="0"/>
    <n v="0"/>
  </r>
  <r>
    <s v="T024"/>
    <d v="2026-03-02T00:00:00"/>
    <s v="Eco Home"/>
    <n v="6100"/>
    <s v="EUR"/>
    <s v=" chargeback "/>
    <s v="score:65"/>
    <x v="4"/>
    <s v="U004"/>
    <s v="Card"/>
    <x v="3"/>
    <s v="chargeback"/>
    <s v="chargeback"/>
    <n v="65"/>
    <x v="1"/>
    <n v="6588"/>
    <n v="1"/>
    <n v="1"/>
  </r>
  <r>
    <s v="T025"/>
    <d v="2026-03-03T00:00:00"/>
    <s v="City Pharma"/>
    <n v="2800"/>
    <s v="EUR"/>
    <s v="Captured "/>
    <n v="38"/>
    <x v="4"/>
    <s v="U005"/>
    <s v="Wallet"/>
    <x v="2"/>
    <s v="captured"/>
    <s v="captured"/>
    <n v="38"/>
    <x v="1"/>
    <n v="3024"/>
    <n v="0"/>
    <n v="0"/>
  </r>
  <r>
    <s v="T026"/>
    <d v="2026-03-05T00:00:00"/>
    <s v="Eco Home"/>
    <n v="3300"/>
    <s v="EUR"/>
    <s v="FAILED e05 TIMEOUT"/>
    <n v="44"/>
    <x v="3"/>
    <s v="U006"/>
    <s v="NetBanking"/>
    <x v="3"/>
    <s v="failed e05 timeout"/>
    <s v="failed"/>
    <n v="44"/>
    <x v="1"/>
    <n v="3564.0000000000005"/>
    <n v="0"/>
    <n v="0"/>
  </r>
  <r>
    <s v="T027"/>
    <d v="2026-03-01T00:00:00"/>
    <s v="DELTA TRAVELS"/>
    <n v="7200"/>
    <s v="USD"/>
    <s v="Captured "/>
    <n v="49"/>
    <x v="5"/>
    <s v="U007"/>
    <s v="Card"/>
    <x v="4"/>
    <s v="captured"/>
    <s v="captured"/>
    <n v="49"/>
    <x v="2"/>
    <n v="7200"/>
    <n v="1"/>
    <n v="0"/>
  </r>
  <r>
    <s v="T028"/>
    <d v="2026-03-02T00:00:00"/>
    <s v="DELTA TRAVELS"/>
    <n v="3100"/>
    <s v="USD"/>
    <s v=" CAPTURED"/>
    <s v="risk-41"/>
    <x v="5"/>
    <s v="U008"/>
    <s v="Card"/>
    <x v="4"/>
    <s v="captured"/>
    <s v="captured"/>
    <n v="41"/>
    <x v="2"/>
    <n v="3100"/>
    <n v="0"/>
    <n v="0"/>
  </r>
  <r>
    <s v="T029"/>
    <d v="2026-03-04T00:00:00"/>
    <s v="delta travels "/>
    <n v="2500"/>
    <s v="USD"/>
    <s v=" chargeback "/>
    <s v="score:58"/>
    <x v="5"/>
    <s v="U009"/>
    <s v="Wallet"/>
    <x v="4"/>
    <s v="chargeback"/>
    <s v="chargeback"/>
    <n v="58"/>
    <x v="2"/>
    <n v="2500"/>
    <n v="0"/>
    <n v="1"/>
  </r>
  <r>
    <s v="T030"/>
    <d v="2026-03-06T00:00:00"/>
    <s v="DELTA TRAVELS"/>
    <n v="1800"/>
    <s v="USD"/>
    <s v="FAILED e05 TIMEOUT"/>
    <s v="score:47"/>
    <x v="5"/>
    <s v="U010"/>
    <s v="UPI"/>
    <x v="4"/>
    <s v="failed e05 timeout"/>
    <s v="failed"/>
    <n v="47"/>
    <x v="2"/>
    <n v="18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72888-3A5C-4161-8AB8-BE59AD28CAE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rchants">
  <location ref="A1:D7" firstHeaderRow="0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transactions " fld="0" subtotal="count" baseField="10" baseItem="0"/>
    <dataField name="total_gmv" fld="15" baseField="10" baseItem="0"/>
    <dataField name="high_risk_transactions" fld="17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213D-27FF-4D0B-AA72-89A51956C04F}">
  <dimension ref="A1:J31"/>
  <sheetViews>
    <sheetView workbookViewId="0">
      <selection activeCell="L18" sqref="L18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4.21875" bestFit="1" customWidth="1"/>
    <col min="4" max="4" width="10.88671875" bestFit="1" customWidth="1"/>
    <col min="5" max="5" width="8.109375" bestFit="1" customWidth="1"/>
    <col min="6" max="6" width="17.77734375" bestFit="1" customWidth="1"/>
    <col min="7" max="7" width="9.21875" bestFit="1" customWidth="1"/>
    <col min="8" max="8" width="13.44140625" bestFit="1" customWidth="1"/>
    <col min="9" max="9" width="6.777343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</row>
    <row r="4" spans="1:10" x14ac:dyDescent="0.3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</row>
    <row r="5" spans="1:10" x14ac:dyDescent="0.3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</row>
    <row r="6" spans="1:10" x14ac:dyDescent="0.3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</row>
    <row r="7" spans="1:10" x14ac:dyDescent="0.3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</row>
    <row r="8" spans="1:10" x14ac:dyDescent="0.3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</row>
    <row r="9" spans="1:10" x14ac:dyDescent="0.3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</row>
    <row r="10" spans="1:10" x14ac:dyDescent="0.3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</row>
    <row r="11" spans="1:10" x14ac:dyDescent="0.3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</row>
    <row r="12" spans="1:10" x14ac:dyDescent="0.3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</row>
    <row r="13" spans="1:10" x14ac:dyDescent="0.3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</row>
    <row r="14" spans="1:10" x14ac:dyDescent="0.3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</row>
    <row r="15" spans="1:10" x14ac:dyDescent="0.3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</row>
    <row r="16" spans="1:10" x14ac:dyDescent="0.3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</row>
    <row r="17" spans="1:10" x14ac:dyDescent="0.3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</row>
    <row r="18" spans="1:10" x14ac:dyDescent="0.3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</row>
    <row r="19" spans="1:10" x14ac:dyDescent="0.3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</row>
    <row r="20" spans="1:10" x14ac:dyDescent="0.3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</row>
    <row r="21" spans="1:10" x14ac:dyDescent="0.3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</row>
    <row r="22" spans="1:10" x14ac:dyDescent="0.3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</row>
    <row r="23" spans="1:10" x14ac:dyDescent="0.3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</row>
    <row r="24" spans="1:10" x14ac:dyDescent="0.3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</row>
    <row r="25" spans="1:10" x14ac:dyDescent="0.3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</row>
    <row r="26" spans="1:10" x14ac:dyDescent="0.3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</row>
    <row r="27" spans="1:10" x14ac:dyDescent="0.3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</row>
    <row r="28" spans="1:10" x14ac:dyDescent="0.3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</row>
    <row r="29" spans="1:10" x14ac:dyDescent="0.3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</row>
    <row r="30" spans="1:10" x14ac:dyDescent="0.3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</row>
    <row r="31" spans="1:10" x14ac:dyDescent="0.3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BE2E-F280-4B2B-963D-C4BFD0C95061}">
  <dimension ref="A1:E6"/>
  <sheetViews>
    <sheetView workbookViewId="0">
      <selection activeCell="J13" sqref="J13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5.5546875" bestFit="1" customWidth="1"/>
    <col min="4" max="4" width="16.5546875" bestFit="1" customWidth="1"/>
    <col min="5" max="5" width="12.33203125" bestFit="1" customWidth="1"/>
  </cols>
  <sheetData>
    <row r="1" spans="1:5" x14ac:dyDescent="0.3">
      <c r="A1" t="s">
        <v>105</v>
      </c>
      <c r="B1" t="s">
        <v>2</v>
      </c>
      <c r="C1" t="s">
        <v>106</v>
      </c>
      <c r="D1" t="s">
        <v>107</v>
      </c>
      <c r="E1" t="s">
        <v>108</v>
      </c>
    </row>
    <row r="2" spans="1:5" x14ac:dyDescent="0.3">
      <c r="A2" t="s">
        <v>109</v>
      </c>
      <c r="B2" t="s">
        <v>35</v>
      </c>
      <c r="C2" t="s">
        <v>110</v>
      </c>
      <c r="D2" t="s">
        <v>111</v>
      </c>
      <c r="E2" t="s">
        <v>15</v>
      </c>
    </row>
    <row r="3" spans="1:5" x14ac:dyDescent="0.3">
      <c r="A3" t="s">
        <v>112</v>
      </c>
      <c r="B3" t="s">
        <v>49</v>
      </c>
      <c r="C3" t="s">
        <v>113</v>
      </c>
      <c r="D3" t="s">
        <v>114</v>
      </c>
      <c r="E3" t="s">
        <v>15</v>
      </c>
    </row>
    <row r="4" spans="1:5" x14ac:dyDescent="0.3">
      <c r="A4" t="s">
        <v>115</v>
      </c>
      <c r="B4" t="s">
        <v>82</v>
      </c>
      <c r="C4" t="s">
        <v>116</v>
      </c>
      <c r="D4" t="s">
        <v>117</v>
      </c>
      <c r="E4" t="s">
        <v>88</v>
      </c>
    </row>
    <row r="5" spans="1:5" x14ac:dyDescent="0.3">
      <c r="A5" t="s">
        <v>118</v>
      </c>
      <c r="B5" t="s">
        <v>97</v>
      </c>
      <c r="C5" t="s">
        <v>119</v>
      </c>
      <c r="D5" t="s">
        <v>120</v>
      </c>
      <c r="E5" t="s">
        <v>99</v>
      </c>
    </row>
    <row r="6" spans="1:5" x14ac:dyDescent="0.3">
      <c r="A6" t="s">
        <v>121</v>
      </c>
      <c r="B6" t="s">
        <v>86</v>
      </c>
      <c r="C6" t="s">
        <v>122</v>
      </c>
      <c r="D6" t="s">
        <v>123</v>
      </c>
      <c r="E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632C-8965-491B-B001-4901683E357A}">
  <dimension ref="A1:C19"/>
  <sheetViews>
    <sheetView workbookViewId="0">
      <selection activeCell="F19" sqref="F19"/>
    </sheetView>
  </sheetViews>
  <sheetFormatPr defaultRowHeight="14.4" x14ac:dyDescent="0.3"/>
  <cols>
    <col min="1" max="1" width="10.33203125" bestFit="1" customWidth="1"/>
    <col min="2" max="2" width="13.44140625" customWidth="1"/>
    <col min="3" max="3" width="17.109375" customWidth="1"/>
  </cols>
  <sheetData>
    <row r="1" spans="1:3" x14ac:dyDescent="0.3">
      <c r="A1" t="s">
        <v>124</v>
      </c>
      <c r="B1" t="s">
        <v>4</v>
      </c>
      <c r="C1" t="s">
        <v>125</v>
      </c>
    </row>
    <row r="2" spans="1:3" x14ac:dyDescent="0.3">
      <c r="A2" s="1">
        <v>46082</v>
      </c>
      <c r="B2" t="s">
        <v>12</v>
      </c>
      <c r="C2">
        <v>1.1900000000000001E-2</v>
      </c>
    </row>
    <row r="3" spans="1:3" x14ac:dyDescent="0.3">
      <c r="A3" s="1">
        <v>46082</v>
      </c>
      <c r="B3" t="s">
        <v>83</v>
      </c>
      <c r="C3">
        <v>1.08</v>
      </c>
    </row>
    <row r="4" spans="1:3" x14ac:dyDescent="0.3">
      <c r="A4" s="1">
        <v>46082</v>
      </c>
      <c r="B4" t="s">
        <v>94</v>
      </c>
      <c r="C4">
        <v>1</v>
      </c>
    </row>
    <row r="5" spans="1:3" x14ac:dyDescent="0.3">
      <c r="A5" s="1">
        <v>46083</v>
      </c>
      <c r="B5" t="s">
        <v>12</v>
      </c>
      <c r="C5">
        <v>1.2E-2</v>
      </c>
    </row>
    <row r="6" spans="1:3" x14ac:dyDescent="0.3">
      <c r="A6" s="1">
        <v>46083</v>
      </c>
      <c r="B6" t="s">
        <v>83</v>
      </c>
      <c r="C6">
        <v>1.0900000000000001</v>
      </c>
    </row>
    <row r="7" spans="1:3" x14ac:dyDescent="0.3">
      <c r="A7" s="1">
        <v>46083</v>
      </c>
      <c r="B7" t="s">
        <v>94</v>
      </c>
      <c r="C7">
        <v>1</v>
      </c>
    </row>
    <row r="8" spans="1:3" x14ac:dyDescent="0.3">
      <c r="A8" s="1">
        <v>46084</v>
      </c>
      <c r="B8" t="s">
        <v>12</v>
      </c>
      <c r="C8">
        <v>1.21E-2</v>
      </c>
    </row>
    <row r="9" spans="1:3" x14ac:dyDescent="0.3">
      <c r="A9" s="1">
        <v>46084</v>
      </c>
      <c r="B9" t="s">
        <v>83</v>
      </c>
      <c r="C9">
        <v>1.08</v>
      </c>
    </row>
    <row r="10" spans="1:3" x14ac:dyDescent="0.3">
      <c r="A10" s="1">
        <v>46084</v>
      </c>
      <c r="B10" t="s">
        <v>94</v>
      </c>
      <c r="C10">
        <v>1</v>
      </c>
    </row>
    <row r="11" spans="1:3" x14ac:dyDescent="0.3">
      <c r="A11" s="1">
        <v>46085</v>
      </c>
      <c r="B11" t="s">
        <v>12</v>
      </c>
      <c r="C11">
        <v>1.2E-2</v>
      </c>
    </row>
    <row r="12" spans="1:3" x14ac:dyDescent="0.3">
      <c r="A12" s="1">
        <v>46085</v>
      </c>
      <c r="B12" t="s">
        <v>83</v>
      </c>
      <c r="C12">
        <v>1.07</v>
      </c>
    </row>
    <row r="13" spans="1:3" x14ac:dyDescent="0.3">
      <c r="A13" s="1">
        <v>46085</v>
      </c>
      <c r="B13" t="s">
        <v>94</v>
      </c>
      <c r="C13">
        <v>1</v>
      </c>
    </row>
    <row r="14" spans="1:3" x14ac:dyDescent="0.3">
      <c r="A14" s="1">
        <v>46086</v>
      </c>
      <c r="B14" t="s">
        <v>12</v>
      </c>
      <c r="C14">
        <v>1.18E-2</v>
      </c>
    </row>
    <row r="15" spans="1:3" x14ac:dyDescent="0.3">
      <c r="A15" s="1">
        <v>46086</v>
      </c>
      <c r="B15" t="s">
        <v>83</v>
      </c>
      <c r="C15">
        <v>1.0900000000000001</v>
      </c>
    </row>
    <row r="16" spans="1:3" x14ac:dyDescent="0.3">
      <c r="A16" s="1">
        <v>46086</v>
      </c>
      <c r="B16" t="s">
        <v>94</v>
      </c>
      <c r="C16">
        <v>1</v>
      </c>
    </row>
    <row r="17" spans="1:3" x14ac:dyDescent="0.3">
      <c r="A17" s="1">
        <v>46087</v>
      </c>
      <c r="B17" t="s">
        <v>12</v>
      </c>
      <c r="C17">
        <v>1.1900000000000001E-2</v>
      </c>
    </row>
    <row r="18" spans="1:3" x14ac:dyDescent="0.3">
      <c r="A18" s="1">
        <v>46087</v>
      </c>
      <c r="B18" t="s">
        <v>83</v>
      </c>
      <c r="C18">
        <v>1.08</v>
      </c>
    </row>
    <row r="19" spans="1:3" x14ac:dyDescent="0.3">
      <c r="A19" s="1">
        <v>46087</v>
      </c>
      <c r="B19" t="s">
        <v>94</v>
      </c>
      <c r="C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17B8-3803-4C48-B9DA-050CBD4477B3}">
  <dimension ref="A1:R31"/>
  <sheetViews>
    <sheetView tabSelected="1" topLeftCell="L1" workbookViewId="0">
      <selection activeCell="Q3" sqref="Q3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4.21875" bestFit="1" customWidth="1"/>
    <col min="4" max="4" width="10.88671875" bestFit="1" customWidth="1"/>
    <col min="6" max="6" width="17.77734375" bestFit="1" customWidth="1"/>
    <col min="7" max="7" width="9.21875" bestFit="1" customWidth="1"/>
    <col min="8" max="8" width="13.44140625" bestFit="1" customWidth="1"/>
    <col min="10" max="10" width="14.88671875" bestFit="1" customWidth="1"/>
    <col min="11" max="11" width="19.5546875" bestFit="1" customWidth="1"/>
    <col min="12" max="12" width="15.33203125" bestFit="1" customWidth="1"/>
    <col min="13" max="13" width="17.21875" bestFit="1" customWidth="1"/>
    <col min="14" max="14" width="14.5546875" bestFit="1" customWidth="1"/>
    <col min="15" max="15" width="18.77734375" bestFit="1" customWidth="1"/>
    <col min="16" max="16" width="10.77734375" bestFit="1" customWidth="1"/>
    <col min="17" max="17" width="13.109375" bestFit="1" customWidth="1"/>
    <col min="18" max="18" width="1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133</v>
      </c>
    </row>
    <row r="2" spans="1:18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tr">
        <f>PROPER(TRIM(C2))</f>
        <v>Alpha Mart</v>
      </c>
      <c r="L2" t="str">
        <f>LOWER(TRIM(F2))</f>
        <v>captured</v>
      </c>
      <c r="M2" t="str">
        <f>IF(ISNUMBER(SEARCH("capture",L2)),"captured",
IF(ISNUMBER(SEARCH("fail",L2)),"failed",
IF(ISNUMBER(SEARCH("chargeback",L2)),"chargeback","other")))</f>
        <v>captured</v>
      </c>
      <c r="N2">
        <f>IF(G2="","",VALUE(SUBSTITUTE(SUBSTITUTE(G2,"score:",""),"risk-","")))</f>
        <v>62</v>
      </c>
      <c r="O2" t="str">
        <f>UPPER(TRIM(IF(H2&lt;&gt;"",H2,_xlfn.XLOOKUP(K2,merchant_master!B:B,merchant_master!E:E))))</f>
        <v>APAC</v>
      </c>
      <c r="P2">
        <f>D2*_xlfn.XLOOKUP(E2,exchange_rates!B:B,exchange_rates!C:C)</f>
        <v>4998</v>
      </c>
      <c r="Q2">
        <f>IF(AND(TRIM(O2)="APAC",P2&gt;5000),1,
IF(AND(TRIM(O2)="EU",P2&gt;6000),1,
IF(AND(TRIM(O2)="US",P2&gt;7000),1,0)))</f>
        <v>0</v>
      </c>
      <c r="R2">
        <f>IF(OR(N2&gt;=70,ISNUMBER(SEARCH("chargeback",M2))),1,0)</f>
        <v>0</v>
      </c>
    </row>
    <row r="3" spans="1:18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  <c r="K3" t="str">
        <f t="shared" ref="K3:K31" si="0">PROPER(TRIM(C3))</f>
        <v>Alpha Mart</v>
      </c>
      <c r="L3" t="str">
        <f t="shared" ref="L3:L31" si="1">LOWER(TRIM(F3))</f>
        <v>captured</v>
      </c>
      <c r="M3" t="str">
        <f t="shared" ref="M3:M31" si="2">IF(ISNUMBER(SEARCH("capture",L3)),"captured",
IF(ISNUMBER(SEARCH("fail",L3)),"failed",
IF(ISNUMBER(SEARCH("chargeback",L3)),"chargeback","other")))</f>
        <v>captured</v>
      </c>
      <c r="N3">
        <f t="shared" ref="N2:N31" si="3">IF(G3="","",VALUE(SUBSTITUTE(SUBSTITUTE(G3,"score:",""),"risk-","")))</f>
        <v>55</v>
      </c>
      <c r="O3" t="str">
        <f>UPPER(TRIM(IF(H3&lt;&gt;"",H3,_xlfn.XLOOKUP(K3,merchant_master!B:B,merchant_master!E:E))))</f>
        <v>APAC</v>
      </c>
      <c r="P3">
        <f>D3*_xlfn.XLOOKUP(E3,exchange_rates!B:B,exchange_rates!C:C)</f>
        <v>2499</v>
      </c>
      <c r="Q3">
        <f t="shared" ref="Q3:Q31" si="4">IF(AND(TRIM(O3)="APAC",P3&gt;5000),1,
IF(AND(TRIM(O3)="EU",P3&gt;6000),1,
IF(AND(TRIM(O3)="US",P3&gt;7000),1,0)))</f>
        <v>0</v>
      </c>
      <c r="R3">
        <f t="shared" ref="R3:R31" si="5">IF(OR(N3&gt;=70,ISNUMBER(SEARCH("chargeback",M3))),1,0)</f>
        <v>0</v>
      </c>
    </row>
    <row r="4" spans="1:18" x14ac:dyDescent="0.3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  <c r="K4" t="str">
        <f t="shared" si="0"/>
        <v>Beta Stores</v>
      </c>
      <c r="L4" t="str">
        <f t="shared" si="1"/>
        <v>captured</v>
      </c>
      <c r="M4" t="str">
        <f t="shared" si="2"/>
        <v>captured</v>
      </c>
      <c r="N4">
        <f t="shared" si="3"/>
        <v>71</v>
      </c>
      <c r="O4" t="str">
        <f>UPPER(TRIM(IF(H4&lt;&gt;"",H4,_xlfn.XLOOKUP(K4,merchant_master!B:B,merchant_master!E:E))))</f>
        <v>APAC</v>
      </c>
      <c r="P4">
        <f>D4*_xlfn.XLOOKUP(E4,exchange_rates!B:B,exchange_rates!C:C)</f>
        <v>6069</v>
      </c>
      <c r="Q4">
        <f t="shared" si="4"/>
        <v>1</v>
      </c>
      <c r="R4">
        <f t="shared" si="5"/>
        <v>1</v>
      </c>
    </row>
    <row r="5" spans="1:18" x14ac:dyDescent="0.3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  <c r="K5" t="str">
        <f t="shared" si="0"/>
        <v>Beta Stores</v>
      </c>
      <c r="L5" t="str">
        <f t="shared" si="1"/>
        <v>failed e05 timeout</v>
      </c>
      <c r="M5" t="str">
        <f t="shared" si="2"/>
        <v>failed</v>
      </c>
      <c r="N5">
        <f t="shared" si="3"/>
        <v>68</v>
      </c>
      <c r="O5" t="str">
        <f>UPPER(TRIM(IF(H5&lt;&gt;"",H5,_xlfn.XLOOKUP(K5,merchant_master!B:B,merchant_master!E:E))))</f>
        <v>APAC</v>
      </c>
      <c r="P5">
        <f>D5*_xlfn.XLOOKUP(E5,exchange_rates!B:B,exchange_rates!C:C)</f>
        <v>1904.0000000000002</v>
      </c>
      <c r="Q5">
        <f t="shared" si="4"/>
        <v>0</v>
      </c>
      <c r="R5">
        <f t="shared" si="5"/>
        <v>0</v>
      </c>
    </row>
    <row r="6" spans="1:18" x14ac:dyDescent="0.3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  <c r="K6" t="str">
        <f t="shared" si="0"/>
        <v>Alpha Mart</v>
      </c>
      <c r="L6" t="str">
        <f t="shared" si="1"/>
        <v>captured</v>
      </c>
      <c r="M6" t="str">
        <f t="shared" si="2"/>
        <v>captured</v>
      </c>
      <c r="N6">
        <f t="shared" si="3"/>
        <v>58</v>
      </c>
      <c r="O6" t="str">
        <f>UPPER(TRIM(IF(H6&lt;&gt;"",H6,_xlfn.XLOOKUP(K6,merchant_master!B:B,merchant_master!E:E))))</f>
        <v>APAC</v>
      </c>
      <c r="P6">
        <f>D6*_xlfn.XLOOKUP(E6,exchange_rates!B:B,exchange_rates!C:C)</f>
        <v>4641</v>
      </c>
      <c r="Q6">
        <f t="shared" si="4"/>
        <v>0</v>
      </c>
      <c r="R6">
        <f t="shared" si="5"/>
        <v>0</v>
      </c>
    </row>
    <row r="7" spans="1:18" x14ac:dyDescent="0.3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  <c r="K7" t="str">
        <f t="shared" si="0"/>
        <v>Beta Stores</v>
      </c>
      <c r="L7" t="str">
        <f t="shared" si="1"/>
        <v>captured</v>
      </c>
      <c r="M7" t="str">
        <f t="shared" si="2"/>
        <v>captured</v>
      </c>
      <c r="N7">
        <f t="shared" si="3"/>
        <v>64</v>
      </c>
      <c r="O7" t="str">
        <f>UPPER(TRIM(IF(H7&lt;&gt;"",H7,_xlfn.XLOOKUP(K7,merchant_master!B:B,merchant_master!E:E))))</f>
        <v>APAC</v>
      </c>
      <c r="P7">
        <f>D7*_xlfn.XLOOKUP(E7,exchange_rates!B:B,exchange_rates!C:C)</f>
        <v>3272.5000000000005</v>
      </c>
      <c r="Q7">
        <f t="shared" si="4"/>
        <v>0</v>
      </c>
      <c r="R7">
        <f t="shared" si="5"/>
        <v>0</v>
      </c>
    </row>
    <row r="8" spans="1:18" x14ac:dyDescent="0.3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  <c r="K8" t="str">
        <f t="shared" si="0"/>
        <v>Alpha Mart</v>
      </c>
      <c r="L8" t="str">
        <f t="shared" si="1"/>
        <v>chargeback</v>
      </c>
      <c r="M8" t="str">
        <f t="shared" si="2"/>
        <v>chargeback</v>
      </c>
      <c r="N8">
        <f t="shared" si="3"/>
        <v>83</v>
      </c>
      <c r="O8" t="str">
        <f>UPPER(TRIM(IF(H8&lt;&gt;"",H8,_xlfn.XLOOKUP(K8,merchant_master!B:B,merchant_master!E:E))))</f>
        <v>APAC</v>
      </c>
      <c r="P8">
        <f>D8*_xlfn.XLOOKUP(E8,exchange_rates!B:B,exchange_rates!C:C)</f>
        <v>5355</v>
      </c>
      <c r="Q8">
        <f t="shared" si="4"/>
        <v>1</v>
      </c>
      <c r="R8">
        <f t="shared" si="5"/>
        <v>1</v>
      </c>
    </row>
    <row r="9" spans="1:18" x14ac:dyDescent="0.3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  <c r="K9" t="str">
        <f t="shared" si="0"/>
        <v>Beta Stores</v>
      </c>
      <c r="L9" t="str">
        <f t="shared" si="1"/>
        <v>captured</v>
      </c>
      <c r="M9" t="str">
        <f t="shared" si="2"/>
        <v>captured</v>
      </c>
      <c r="N9">
        <f t="shared" si="3"/>
        <v>59</v>
      </c>
      <c r="O9" t="str">
        <f>UPPER(TRIM(IF(H9&lt;&gt;"",H9,_xlfn.XLOOKUP(K9,merchant_master!B:B,merchant_master!E:E))))</f>
        <v>APAC</v>
      </c>
      <c r="P9">
        <f>D9*_xlfn.XLOOKUP(E9,exchange_rates!B:B,exchange_rates!C:C)</f>
        <v>4046.0000000000005</v>
      </c>
      <c r="Q9">
        <f t="shared" si="4"/>
        <v>0</v>
      </c>
      <c r="R9">
        <f t="shared" si="5"/>
        <v>0</v>
      </c>
    </row>
    <row r="10" spans="1:18" x14ac:dyDescent="0.3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  <c r="K10" t="str">
        <f t="shared" si="0"/>
        <v>Alpha Mart</v>
      </c>
      <c r="L10" t="str">
        <f t="shared" si="1"/>
        <v>captured</v>
      </c>
      <c r="M10" t="str">
        <f t="shared" si="2"/>
        <v>captured</v>
      </c>
      <c r="N10">
        <f t="shared" si="3"/>
        <v>46</v>
      </c>
      <c r="O10" t="str">
        <f>UPPER(TRIM(IF(H10&lt;&gt;"",H10,_xlfn.XLOOKUP(K10,merchant_master!B:B,merchant_master!E:E))))</f>
        <v>APAC</v>
      </c>
      <c r="P10">
        <f>D10*_xlfn.XLOOKUP(E10,exchange_rates!B:B,exchange_rates!C:C)</f>
        <v>1487.5</v>
      </c>
      <c r="Q10">
        <f t="shared" si="4"/>
        <v>0</v>
      </c>
      <c r="R10">
        <f t="shared" si="5"/>
        <v>0</v>
      </c>
    </row>
    <row r="11" spans="1:18" x14ac:dyDescent="0.3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  <c r="K11" t="str">
        <f t="shared" si="0"/>
        <v>Beta Stores</v>
      </c>
      <c r="L11" t="str">
        <f t="shared" si="1"/>
        <v>captured</v>
      </c>
      <c r="M11" t="str">
        <f t="shared" si="2"/>
        <v>captured</v>
      </c>
      <c r="N11">
        <f t="shared" si="3"/>
        <v>77</v>
      </c>
      <c r="O11" t="str">
        <f>UPPER(TRIM(IF(H11&lt;&gt;"",H11,_xlfn.XLOOKUP(K11,merchant_master!B:B,merchant_master!E:E))))</f>
        <v>APAC</v>
      </c>
      <c r="P11">
        <f>D11*_xlfn.XLOOKUP(E11,exchange_rates!B:B,exchange_rates!C:C)</f>
        <v>7259.0000000000009</v>
      </c>
      <c r="Q11">
        <f t="shared" si="4"/>
        <v>1</v>
      </c>
      <c r="R11">
        <f t="shared" si="5"/>
        <v>1</v>
      </c>
    </row>
    <row r="12" spans="1:18" x14ac:dyDescent="0.3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  <c r="K12" t="str">
        <f t="shared" si="0"/>
        <v>Alpha Mart</v>
      </c>
      <c r="L12" t="str">
        <f t="shared" si="1"/>
        <v>failed e05 timeout</v>
      </c>
      <c r="M12" t="str">
        <f t="shared" si="2"/>
        <v>failed</v>
      </c>
      <c r="N12" t="str">
        <f t="shared" si="3"/>
        <v/>
      </c>
      <c r="O12" t="str">
        <f>UPPER(TRIM(IF(H12&lt;&gt;"",H12,_xlfn.XLOOKUP(K12,merchant_master!B:B,merchant_master!E:E))))</f>
        <v>APAC</v>
      </c>
      <c r="P12">
        <f>D12*_xlfn.XLOOKUP(E12,exchange_rates!B:B,exchange_rates!C:C)</f>
        <v>2320.5</v>
      </c>
      <c r="Q12">
        <f t="shared" si="4"/>
        <v>0</v>
      </c>
      <c r="R12">
        <f t="shared" si="5"/>
        <v>1</v>
      </c>
    </row>
    <row r="13" spans="1:18" x14ac:dyDescent="0.3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  <c r="K13" t="str">
        <f t="shared" si="0"/>
        <v>Beta Stores</v>
      </c>
      <c r="L13" t="str">
        <f t="shared" si="1"/>
        <v>captured</v>
      </c>
      <c r="M13" t="str">
        <f t="shared" si="2"/>
        <v>captured</v>
      </c>
      <c r="N13">
        <f t="shared" si="3"/>
        <v>61</v>
      </c>
      <c r="O13" t="str">
        <f>UPPER(TRIM(IF(H13&lt;&gt;"",H13,_xlfn.XLOOKUP(K13,merchant_master!B:B,merchant_master!E:E))))</f>
        <v>APAC</v>
      </c>
      <c r="P13">
        <f>D13*_xlfn.XLOOKUP(E13,exchange_rates!B:B,exchange_rates!C:C)</f>
        <v>2975</v>
      </c>
      <c r="Q13">
        <f t="shared" si="4"/>
        <v>0</v>
      </c>
      <c r="R13">
        <f t="shared" si="5"/>
        <v>0</v>
      </c>
    </row>
    <row r="14" spans="1:18" x14ac:dyDescent="0.3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  <c r="K14" t="str">
        <f t="shared" si="0"/>
        <v>Alpha Mart</v>
      </c>
      <c r="L14" t="str">
        <f t="shared" si="1"/>
        <v>captured</v>
      </c>
      <c r="M14" t="str">
        <f t="shared" si="2"/>
        <v>captured</v>
      </c>
      <c r="N14">
        <f t="shared" si="3"/>
        <v>54</v>
      </c>
      <c r="O14" t="str">
        <f>UPPER(TRIM(IF(H14&lt;&gt;"",H14,_xlfn.XLOOKUP(K14,merchant_master!B:B,merchant_master!E:E))))</f>
        <v>APAC</v>
      </c>
      <c r="P14">
        <f>D14*_xlfn.XLOOKUP(E14,exchange_rates!B:B,exchange_rates!C:C)</f>
        <v>3689.0000000000005</v>
      </c>
      <c r="Q14">
        <f t="shared" si="4"/>
        <v>0</v>
      </c>
      <c r="R14">
        <f t="shared" si="5"/>
        <v>0</v>
      </c>
    </row>
    <row r="15" spans="1:18" x14ac:dyDescent="0.3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  <c r="K15" t="str">
        <f t="shared" si="0"/>
        <v>Beta Stores</v>
      </c>
      <c r="L15" t="str">
        <f t="shared" si="1"/>
        <v>captured</v>
      </c>
      <c r="M15" t="str">
        <f t="shared" si="2"/>
        <v>captured</v>
      </c>
      <c r="N15">
        <f t="shared" si="3"/>
        <v>73</v>
      </c>
      <c r="O15" t="str">
        <f>UPPER(TRIM(IF(H15&lt;&gt;"",H15,_xlfn.XLOOKUP(K15,merchant_master!B:B,merchant_master!E:E))))</f>
        <v>APAC</v>
      </c>
      <c r="P15">
        <f>D15*_xlfn.XLOOKUP(E15,exchange_rates!B:B,exchange_rates!C:C)</f>
        <v>5593</v>
      </c>
      <c r="Q15">
        <f t="shared" si="4"/>
        <v>1</v>
      </c>
      <c r="R15">
        <f t="shared" si="5"/>
        <v>1</v>
      </c>
    </row>
    <row r="16" spans="1:18" x14ac:dyDescent="0.3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  <c r="K16" t="str">
        <f t="shared" si="0"/>
        <v>Alpha Mart</v>
      </c>
      <c r="L16" t="str">
        <f t="shared" si="1"/>
        <v>captured</v>
      </c>
      <c r="M16" t="str">
        <f t="shared" si="2"/>
        <v>captured</v>
      </c>
      <c r="N16">
        <f t="shared" si="3"/>
        <v>52</v>
      </c>
      <c r="O16" t="str">
        <f>UPPER(TRIM(IF(H16&lt;&gt;"",H16,_xlfn.XLOOKUP(K16,merchant_master!B:B,merchant_master!E:E))))</f>
        <v>APAC</v>
      </c>
      <c r="P16">
        <f>D16*_xlfn.XLOOKUP(E16,exchange_rates!B:B,exchange_rates!C:C)</f>
        <v>1547</v>
      </c>
      <c r="Q16">
        <f t="shared" si="4"/>
        <v>0</v>
      </c>
      <c r="R16">
        <f t="shared" si="5"/>
        <v>0</v>
      </c>
    </row>
    <row r="17" spans="1:18" x14ac:dyDescent="0.3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  <c r="K17" t="str">
        <f t="shared" si="0"/>
        <v>Beta Stores</v>
      </c>
      <c r="L17" t="str">
        <f t="shared" si="1"/>
        <v>failed e05 timeout</v>
      </c>
      <c r="M17" t="str">
        <f t="shared" si="2"/>
        <v>failed</v>
      </c>
      <c r="N17">
        <f t="shared" si="3"/>
        <v>69</v>
      </c>
      <c r="O17" t="str">
        <f>UPPER(TRIM(IF(H17&lt;&gt;"",H17,_xlfn.XLOOKUP(K17,merchant_master!B:B,merchant_master!E:E))))</f>
        <v>APAC</v>
      </c>
      <c r="P17">
        <f>D17*_xlfn.XLOOKUP(E17,exchange_rates!B:B,exchange_rates!C:C)</f>
        <v>2618</v>
      </c>
      <c r="Q17">
        <f t="shared" si="4"/>
        <v>0</v>
      </c>
      <c r="R17">
        <f t="shared" si="5"/>
        <v>0</v>
      </c>
    </row>
    <row r="18" spans="1:18" x14ac:dyDescent="0.3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  <c r="K18" t="str">
        <f t="shared" si="0"/>
        <v>Beta Stores</v>
      </c>
      <c r="L18" t="str">
        <f t="shared" si="1"/>
        <v>failed e05 timeout</v>
      </c>
      <c r="M18" t="str">
        <f t="shared" si="2"/>
        <v>failed</v>
      </c>
      <c r="N18">
        <f t="shared" si="3"/>
        <v>72</v>
      </c>
      <c r="O18" t="str">
        <f>UPPER(TRIM(IF(H18&lt;&gt;"",H18,_xlfn.XLOOKUP(K18,merchant_master!B:B,merchant_master!E:E))))</f>
        <v>APAC</v>
      </c>
      <c r="P18">
        <f>D18*_xlfn.XLOOKUP(E18,exchange_rates!B:B,exchange_rates!C:C)</f>
        <v>2142</v>
      </c>
      <c r="Q18">
        <f t="shared" si="4"/>
        <v>0</v>
      </c>
      <c r="R18">
        <f t="shared" si="5"/>
        <v>1</v>
      </c>
    </row>
    <row r="19" spans="1:18" x14ac:dyDescent="0.3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  <c r="K19" t="str">
        <f t="shared" si="0"/>
        <v>Beta Stores</v>
      </c>
      <c r="L19" t="str">
        <f t="shared" si="1"/>
        <v>chargeback</v>
      </c>
      <c r="M19" t="str">
        <f t="shared" si="2"/>
        <v>chargeback</v>
      </c>
      <c r="N19">
        <f t="shared" si="3"/>
        <v>86</v>
      </c>
      <c r="O19" t="str">
        <f>UPPER(TRIM(IF(H19&lt;&gt;"",H19,_xlfn.XLOOKUP(K19,merchant_master!B:B,merchant_master!E:E))))</f>
        <v>APAC</v>
      </c>
      <c r="P19">
        <f>D19*_xlfn.XLOOKUP(E19,exchange_rates!B:B,exchange_rates!C:C)</f>
        <v>1725.5000000000002</v>
      </c>
      <c r="Q19">
        <f t="shared" si="4"/>
        <v>0</v>
      </c>
      <c r="R19">
        <f t="shared" si="5"/>
        <v>1</v>
      </c>
    </row>
    <row r="20" spans="1:18" x14ac:dyDescent="0.3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  <c r="K20" t="str">
        <f t="shared" si="0"/>
        <v>Alpha Mart</v>
      </c>
      <c r="L20" t="str">
        <f t="shared" si="1"/>
        <v>failed e05 timeout</v>
      </c>
      <c r="M20" t="str">
        <f t="shared" si="2"/>
        <v>failed</v>
      </c>
      <c r="N20">
        <f t="shared" si="3"/>
        <v>67</v>
      </c>
      <c r="O20" t="str">
        <f>UPPER(TRIM(IF(H20&lt;&gt;"",H20,_xlfn.XLOOKUP(K20,merchant_master!B:B,merchant_master!E:E))))</f>
        <v>APAC</v>
      </c>
      <c r="P20">
        <f>D20*_xlfn.XLOOKUP(E20,exchange_rates!B:B,exchange_rates!C:C)</f>
        <v>3094</v>
      </c>
      <c r="Q20">
        <f t="shared" si="4"/>
        <v>0</v>
      </c>
      <c r="R20">
        <f t="shared" si="5"/>
        <v>0</v>
      </c>
    </row>
    <row r="21" spans="1:18" x14ac:dyDescent="0.3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  <c r="K21" t="str">
        <f t="shared" si="0"/>
        <v>Alpha Mart</v>
      </c>
      <c r="L21" t="str">
        <f t="shared" si="1"/>
        <v>captured</v>
      </c>
      <c r="M21" t="str">
        <f t="shared" si="2"/>
        <v>captured</v>
      </c>
      <c r="N21">
        <f t="shared" si="3"/>
        <v>75</v>
      </c>
      <c r="O21" t="str">
        <f>UPPER(TRIM(IF(H21&lt;&gt;"",H21,_xlfn.XLOOKUP(K21,merchant_master!B:B,merchant_master!E:E))))</f>
        <v>APAC</v>
      </c>
      <c r="P21">
        <f>D21*_xlfn.XLOOKUP(E21,exchange_rates!B:B,exchange_rates!C:C)</f>
        <v>6188</v>
      </c>
      <c r="Q21">
        <f t="shared" si="4"/>
        <v>1</v>
      </c>
      <c r="R21">
        <f t="shared" si="5"/>
        <v>1</v>
      </c>
    </row>
    <row r="22" spans="1:18" x14ac:dyDescent="0.3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  <c r="K22" t="str">
        <f t="shared" si="0"/>
        <v>Beta Stores</v>
      </c>
      <c r="L22" t="str">
        <f t="shared" si="1"/>
        <v>captured</v>
      </c>
      <c r="M22" t="str">
        <f t="shared" si="2"/>
        <v>captured</v>
      </c>
      <c r="N22">
        <f t="shared" si="3"/>
        <v>63</v>
      </c>
      <c r="O22" t="str">
        <f>UPPER(TRIM(IF(H22&lt;&gt;"",H22,_xlfn.XLOOKUP(K22,merchant_master!B:B,merchant_master!E:E))))</f>
        <v>APAC</v>
      </c>
      <c r="P22">
        <f>D22*_xlfn.XLOOKUP(E22,exchange_rates!B:B,exchange_rates!C:C)</f>
        <v>3927.0000000000005</v>
      </c>
      <c r="Q22">
        <f t="shared" si="4"/>
        <v>0</v>
      </c>
      <c r="R22">
        <f t="shared" si="5"/>
        <v>0</v>
      </c>
    </row>
    <row r="23" spans="1:18" x14ac:dyDescent="0.3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  <c r="K23" t="str">
        <f t="shared" si="0"/>
        <v>Alpha Mart</v>
      </c>
      <c r="L23" t="str">
        <f t="shared" si="1"/>
        <v>captured</v>
      </c>
      <c r="M23" t="str">
        <f t="shared" si="2"/>
        <v>captured</v>
      </c>
      <c r="N23">
        <f t="shared" si="3"/>
        <v>60</v>
      </c>
      <c r="O23" t="str">
        <f>UPPER(TRIM(IF(H23&lt;&gt;"",H23,_xlfn.XLOOKUP(K23,merchant_master!B:B,merchant_master!E:E))))</f>
        <v>APAC</v>
      </c>
      <c r="P23">
        <f>D23*_xlfn.XLOOKUP(E23,exchange_rates!B:B,exchange_rates!C:C)</f>
        <v>4879</v>
      </c>
      <c r="Q23">
        <f t="shared" si="4"/>
        <v>0</v>
      </c>
      <c r="R23">
        <f t="shared" si="5"/>
        <v>0</v>
      </c>
    </row>
    <row r="24" spans="1:18" x14ac:dyDescent="0.3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  <c r="K24" t="str">
        <f t="shared" si="0"/>
        <v>City Pharma</v>
      </c>
      <c r="L24" t="str">
        <f t="shared" si="1"/>
        <v>captured</v>
      </c>
      <c r="M24" t="str">
        <f t="shared" si="2"/>
        <v>captured</v>
      </c>
      <c r="N24">
        <f t="shared" si="3"/>
        <v>42</v>
      </c>
      <c r="O24" t="str">
        <f>UPPER(TRIM(IF(H24&lt;&gt;"",H24,_xlfn.XLOOKUP(K24,merchant_master!B:B,merchant_master!E:E))))</f>
        <v>EU</v>
      </c>
      <c r="P24">
        <f>D24*_xlfn.XLOOKUP(E24,exchange_rates!B:B,exchange_rates!C:C)</f>
        <v>5616</v>
      </c>
      <c r="Q24">
        <f t="shared" si="4"/>
        <v>0</v>
      </c>
      <c r="R24">
        <f t="shared" si="5"/>
        <v>0</v>
      </c>
    </row>
    <row r="25" spans="1:18" x14ac:dyDescent="0.3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  <c r="K25" t="str">
        <f t="shared" si="0"/>
        <v>Eco Home</v>
      </c>
      <c r="L25" t="str">
        <f t="shared" si="1"/>
        <v>chargeback</v>
      </c>
      <c r="M25" t="str">
        <f t="shared" si="2"/>
        <v>chargeback</v>
      </c>
      <c r="N25">
        <f t="shared" si="3"/>
        <v>65</v>
      </c>
      <c r="O25" t="str">
        <f>UPPER(TRIM(IF(H25&lt;&gt;"",H25,_xlfn.XLOOKUP(K25,merchant_master!B:B,merchant_master!E:E))))</f>
        <v>EU</v>
      </c>
      <c r="P25">
        <f>D25*_xlfn.XLOOKUP(E25,exchange_rates!B:B,exchange_rates!C:C)</f>
        <v>6588</v>
      </c>
      <c r="Q25">
        <f t="shared" si="4"/>
        <v>1</v>
      </c>
      <c r="R25">
        <f t="shared" si="5"/>
        <v>1</v>
      </c>
    </row>
    <row r="26" spans="1:18" x14ac:dyDescent="0.3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  <c r="K26" t="str">
        <f t="shared" si="0"/>
        <v>City Pharma</v>
      </c>
      <c r="L26" t="str">
        <f t="shared" si="1"/>
        <v>captured</v>
      </c>
      <c r="M26" t="str">
        <f t="shared" si="2"/>
        <v>captured</v>
      </c>
      <c r="N26">
        <f t="shared" si="3"/>
        <v>38</v>
      </c>
      <c r="O26" t="str">
        <f>UPPER(TRIM(IF(H26&lt;&gt;"",H26,_xlfn.XLOOKUP(K26,merchant_master!B:B,merchant_master!E:E))))</f>
        <v>EU</v>
      </c>
      <c r="P26">
        <f>D26*_xlfn.XLOOKUP(E26,exchange_rates!B:B,exchange_rates!C:C)</f>
        <v>3024</v>
      </c>
      <c r="Q26">
        <f t="shared" si="4"/>
        <v>0</v>
      </c>
      <c r="R26">
        <f t="shared" si="5"/>
        <v>0</v>
      </c>
    </row>
    <row r="27" spans="1:18" x14ac:dyDescent="0.3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  <c r="K27" t="str">
        <f t="shared" si="0"/>
        <v>Eco Home</v>
      </c>
      <c r="L27" t="str">
        <f t="shared" si="1"/>
        <v>failed e05 timeout</v>
      </c>
      <c r="M27" t="str">
        <f t="shared" si="2"/>
        <v>failed</v>
      </c>
      <c r="N27">
        <f t="shared" si="3"/>
        <v>44</v>
      </c>
      <c r="O27" t="str">
        <f>UPPER(TRIM(IF(H27&lt;&gt;"",H27,_xlfn.XLOOKUP(K27,merchant_master!B:B,merchant_master!E:E))))</f>
        <v>EU</v>
      </c>
      <c r="P27">
        <f>D27*_xlfn.XLOOKUP(E27,exchange_rates!B:B,exchange_rates!C:C)</f>
        <v>3564.0000000000005</v>
      </c>
      <c r="Q27">
        <f t="shared" si="4"/>
        <v>0</v>
      </c>
      <c r="R27">
        <f t="shared" si="5"/>
        <v>0</v>
      </c>
    </row>
    <row r="28" spans="1:18" x14ac:dyDescent="0.3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  <c r="K28" t="str">
        <f t="shared" si="0"/>
        <v>Delta Travels</v>
      </c>
      <c r="L28" t="str">
        <f t="shared" si="1"/>
        <v>captured</v>
      </c>
      <c r="M28" t="str">
        <f t="shared" si="2"/>
        <v>captured</v>
      </c>
      <c r="N28">
        <f t="shared" si="3"/>
        <v>49</v>
      </c>
      <c r="O28" t="str">
        <f>UPPER(TRIM(IF(H28&lt;&gt;"",H28,_xlfn.XLOOKUP(K28,merchant_master!B:B,merchant_master!E:E))))</f>
        <v>US</v>
      </c>
      <c r="P28">
        <f>D28*_xlfn.XLOOKUP(E28,exchange_rates!B:B,exchange_rates!C:C)</f>
        <v>7200</v>
      </c>
      <c r="Q28">
        <f t="shared" si="4"/>
        <v>1</v>
      </c>
      <c r="R28">
        <f t="shared" si="5"/>
        <v>0</v>
      </c>
    </row>
    <row r="29" spans="1:18" x14ac:dyDescent="0.3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  <c r="K29" t="str">
        <f t="shared" si="0"/>
        <v>Delta Travels</v>
      </c>
      <c r="L29" t="str">
        <f t="shared" si="1"/>
        <v>captured</v>
      </c>
      <c r="M29" t="str">
        <f t="shared" si="2"/>
        <v>captured</v>
      </c>
      <c r="N29">
        <f t="shared" si="3"/>
        <v>41</v>
      </c>
      <c r="O29" t="str">
        <f>UPPER(TRIM(IF(H29&lt;&gt;"",H29,_xlfn.XLOOKUP(K29,merchant_master!B:B,merchant_master!E:E))))</f>
        <v>US</v>
      </c>
      <c r="P29">
        <f>D29*_xlfn.XLOOKUP(E29,exchange_rates!B:B,exchange_rates!C:C)</f>
        <v>3100</v>
      </c>
      <c r="Q29">
        <f t="shared" si="4"/>
        <v>0</v>
      </c>
      <c r="R29">
        <f t="shared" si="5"/>
        <v>0</v>
      </c>
    </row>
    <row r="30" spans="1:18" x14ac:dyDescent="0.3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  <c r="K30" t="str">
        <f t="shared" si="0"/>
        <v>Delta Travels</v>
      </c>
      <c r="L30" t="str">
        <f t="shared" si="1"/>
        <v>chargeback</v>
      </c>
      <c r="M30" t="str">
        <f t="shared" si="2"/>
        <v>chargeback</v>
      </c>
      <c r="N30">
        <f t="shared" si="3"/>
        <v>58</v>
      </c>
      <c r="O30" t="str">
        <f>UPPER(TRIM(IF(H30&lt;&gt;"",H30,_xlfn.XLOOKUP(K30,merchant_master!B:B,merchant_master!E:E))))</f>
        <v>US</v>
      </c>
      <c r="P30">
        <f>D30*_xlfn.XLOOKUP(E30,exchange_rates!B:B,exchange_rates!C:C)</f>
        <v>2500</v>
      </c>
      <c r="Q30">
        <f t="shared" si="4"/>
        <v>0</v>
      </c>
      <c r="R30">
        <f t="shared" si="5"/>
        <v>1</v>
      </c>
    </row>
    <row r="31" spans="1:18" x14ac:dyDescent="0.3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  <c r="K31" t="str">
        <f t="shared" si="0"/>
        <v>Delta Travels</v>
      </c>
      <c r="L31" t="str">
        <f t="shared" si="1"/>
        <v>failed e05 timeout</v>
      </c>
      <c r="M31" t="str">
        <f t="shared" si="2"/>
        <v>failed</v>
      </c>
      <c r="N31">
        <f t="shared" si="3"/>
        <v>47</v>
      </c>
      <c r="O31" t="str">
        <f>UPPER(TRIM(IF(H31&lt;&gt;"",H31,_xlfn.XLOOKUP(K31,merchant_master!B:B,merchant_master!E:E))))</f>
        <v>US</v>
      </c>
      <c r="P31">
        <f>D31*_xlfn.XLOOKUP(E31,exchange_rates!B:B,exchange_rates!C:C)</f>
        <v>1800</v>
      </c>
      <c r="Q31">
        <f t="shared" si="4"/>
        <v>0</v>
      </c>
      <c r="R31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20DA-89BE-423A-AAF2-40F49E423A47}">
  <dimension ref="A1:D7"/>
  <sheetViews>
    <sheetView workbookViewId="0">
      <selection activeCell="A14" sqref="A14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9.109375" bestFit="1" customWidth="1"/>
    <col min="4" max="4" width="19.6640625" bestFit="1" customWidth="1"/>
  </cols>
  <sheetData>
    <row r="1" spans="1:4" x14ac:dyDescent="0.3">
      <c r="A1" s="2" t="s">
        <v>138</v>
      </c>
      <c r="B1" t="s">
        <v>135</v>
      </c>
      <c r="C1" t="s">
        <v>136</v>
      </c>
      <c r="D1" t="s">
        <v>137</v>
      </c>
    </row>
    <row r="2" spans="1:4" x14ac:dyDescent="0.3">
      <c r="A2" s="3" t="s">
        <v>35</v>
      </c>
      <c r="B2">
        <v>11</v>
      </c>
      <c r="C2">
        <v>40698</v>
      </c>
      <c r="D2">
        <v>3</v>
      </c>
    </row>
    <row r="3" spans="1:4" x14ac:dyDescent="0.3">
      <c r="A3" s="3" t="s">
        <v>49</v>
      </c>
      <c r="B3">
        <v>11</v>
      </c>
      <c r="C3">
        <v>41531</v>
      </c>
      <c r="D3">
        <v>5</v>
      </c>
    </row>
    <row r="4" spans="1:4" x14ac:dyDescent="0.3">
      <c r="A4" s="3" t="s">
        <v>82</v>
      </c>
      <c r="B4">
        <v>2</v>
      </c>
      <c r="C4">
        <v>8640</v>
      </c>
      <c r="D4">
        <v>0</v>
      </c>
    </row>
    <row r="5" spans="1:4" x14ac:dyDescent="0.3">
      <c r="A5" s="3" t="s">
        <v>97</v>
      </c>
      <c r="B5">
        <v>4</v>
      </c>
      <c r="C5">
        <v>14600</v>
      </c>
      <c r="D5">
        <v>1</v>
      </c>
    </row>
    <row r="6" spans="1:4" x14ac:dyDescent="0.3">
      <c r="A6" s="3" t="s">
        <v>86</v>
      </c>
      <c r="B6">
        <v>2</v>
      </c>
      <c r="C6">
        <v>10152</v>
      </c>
      <c r="D6">
        <v>1</v>
      </c>
    </row>
    <row r="7" spans="1:4" x14ac:dyDescent="0.3">
      <c r="A7" s="3" t="s">
        <v>134</v>
      </c>
      <c r="B7">
        <v>30</v>
      </c>
      <c r="C7">
        <v>115621</v>
      </c>
      <c r="D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raw_transactions</vt:lpstr>
      <vt:lpstr>merchant_master</vt:lpstr>
      <vt:lpstr>exchange_rates</vt:lpstr>
      <vt:lpstr>cleaned_transactions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divyagra78@gmail.com</dc:creator>
  <cp:lastModifiedBy>divyagra78@gmail.com</cp:lastModifiedBy>
  <dcterms:created xsi:type="dcterms:W3CDTF">2026-05-09T15:44:18Z</dcterms:created>
  <dcterms:modified xsi:type="dcterms:W3CDTF">2026-05-09T17:18:26Z</dcterms:modified>
</cp:coreProperties>
</file>